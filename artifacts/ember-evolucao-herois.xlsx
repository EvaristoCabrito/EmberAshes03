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rescimento" sheetId="2" state="visible" r:id="rId4"/>
    <sheet name="Stats por nível" sheetId="3" state="visible" r:id="rId5"/>
    <sheet name="Habilidades" sheetId="4" state="visible" r:id="rId6"/>
    <sheet name="Campanha" sheetId="5" state="visible" r:id="rId7"/>
  </sheets>
  <definedNames>
    <definedName function="false" hidden="false" localSheetId="4" name="_xlnm.Print_Titles" vbProcedure="false">Campanha!$1:$4</definedName>
    <definedName function="false" hidden="false" localSheetId="1" name="_xlnm.Print_Titles" vbProcedure="false">Crescimento!$1:$4</definedName>
    <definedName function="false" hidden="true" localSheetId="1" name="_xlnm._FilterDatabase" vbProcedure="false">Crescimento!$A$4:$L$8</definedName>
    <definedName function="false" hidden="false" localSheetId="3" name="_xlnm.Print_Titles" vbProcedure="false">Habilidades!$1:$4</definedName>
    <definedName function="false" hidden="true" localSheetId="3" name="_xlnm._FilterDatabase" vbProcedure="false">Habilidades!$A$4:$I$14</definedName>
    <definedName function="false" hidden="false" localSheetId="0" name="_xlnm.Print_Titles" vbProcedure="false">Resumo!$1:$4</definedName>
    <definedName function="false" hidden="false" localSheetId="2" name="_xlnm.Print_Titles" vbProcedure="false">'Stats por nível'!$1:$4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<sst xmlns="http://schemas.openxmlformats.org/spreadsheetml/2006/main" count="206" uniqueCount="147">
  <si>
    <t xml:space="preserve">Ember — resumo da evolução</t>
  </si>
  <si>
    <t xml:space="preserve">Foto do elenco em 30/08/2026. Quatro abas: este resumo, bases editáveis, stats calculados, habilidades e campanha.</t>
  </si>
  <si>
    <t xml:space="preserve">Herói</t>
  </si>
  <si>
    <t xml:space="preserve">Função</t>
  </si>
  <si>
    <t xml:space="preserve">HP 1 → 5</t>
  </si>
  <si>
    <t xml:space="preserve">Ofensiva 1 → 5</t>
  </si>
  <si>
    <t xml:space="preserve">O que destrava</t>
  </si>
  <si>
    <t xml:space="preserve">Kael</t>
  </si>
  <si>
    <t xml:space="preserve">Espadachim de linha</t>
  </si>
  <si>
    <t xml:space="preserve">Ainda sem habilidade especial</t>
  </si>
  <si>
    <t xml:space="preserve">Neera</t>
  </si>
  <si>
    <t xml:space="preserve">Arqueira de alcance 2–3</t>
  </si>
  <si>
    <t xml:space="preserve">Nv 3: Tiro longo e Perfurante passam a 2 usos</t>
  </si>
  <si>
    <t xml:space="preserve">Voss</t>
  </si>
  <si>
    <t xml:space="preserve">Mago de área e raio</t>
  </si>
  <si>
    <t xml:space="preserve">Nv 4: Relâmpago (MAG + 2d8, alvo único)</t>
  </si>
  <si>
    <t xml:space="preserve">Salazar</t>
  </si>
  <si>
    <t xml:space="preserve">Clérigo de cura curta</t>
  </si>
  <si>
    <t xml:space="preserve">Entra no Templo. Cura menor 4–11 ×2; simples 6–27 ×1</t>
  </si>
  <si>
    <t xml:space="preserve">Como usar: mude HP/AT/crescimento na aba Crescimento (células amarelas). Stats por nível e este resumo recalculam sozinhos. Habilidades e Campanha são o desenho atual — não dependem das células amarelas.</t>
  </si>
  <si>
    <t xml:space="preserve">Ember — evolução dos quatro heróis</t>
  </si>
  <si>
    <t xml:space="preserve">Valores-base e crescimento por nível. Células amarelas são entradas: altere-as e a aba Stats recalcula. Nível máximo 5. Crescimento aplica-se a partir do nível 2 (n = nível − 1).</t>
  </si>
  <si>
    <t xml:space="preserve">Classe</t>
  </si>
  <si>
    <t xml:space="preserve">Papel</t>
  </si>
  <si>
    <t xml:space="preserve">HP base</t>
  </si>
  <si>
    <t xml:space="preserve">AT base</t>
  </si>
  <si>
    <t xml:space="preserve">MAG base</t>
  </si>
  <si>
    <t xml:space="preserve">DF base</t>
  </si>
  <si>
    <t xml:space="preserve">RES base</t>
  </si>
  <si>
    <t xml:space="preserve">Mov</t>
  </si>
  <si>
    <t xml:space="preserve">Alcance mín</t>
  </si>
  <si>
    <t xml:space="preserve">Alcance máx</t>
  </si>
  <si>
    <t xml:space="preserve">Sprite</t>
  </si>
  <si>
    <t xml:space="preserve">Espadachim</t>
  </si>
  <si>
    <t xml:space="preserve">Linha de frente</t>
  </si>
  <si>
    <t xml:space="preserve">kael</t>
  </si>
  <si>
    <t xml:space="preserve">Arqueira</t>
  </si>
  <si>
    <t xml:space="preserve">Alcance</t>
  </si>
  <si>
    <t xml:space="preserve">nira</t>
  </si>
  <si>
    <t xml:space="preserve">Mago</t>
  </si>
  <si>
    <t xml:space="preserve">Magia</t>
  </si>
  <si>
    <t xml:space="preserve">voss</t>
  </si>
  <si>
    <t xml:space="preserve">Clérigo</t>
  </si>
  <si>
    <t xml:space="preserve">Cura</t>
  </si>
  <si>
    <t xml:space="preserve">salazar</t>
  </si>
  <si>
    <t xml:space="preserve">Crescimento por nível (soma-se a cada nível acima de 1)</t>
  </si>
  <si>
    <t xml:space="preserve">HP / nv</t>
  </si>
  <si>
    <t xml:space="preserve">AT / nv</t>
  </si>
  <si>
    <t xml:space="preserve">MAG / nv</t>
  </si>
  <si>
    <t xml:space="preserve">DF / nv</t>
  </si>
  <si>
    <t xml:space="preserve">RES / nv</t>
  </si>
  <si>
    <t xml:space="preserve">Nível máximo</t>
  </si>
  <si>
    <t xml:space="preserve">Fórmula do jogo: stat = base + crescimento × (nível − 1), com nível limitado entre 1 e 5. Movimento e alcance não sobem com o nível. Descanso entre missões: recupera metade do HP perdido (arredondado para cima). Quem cai volta com 50% do HP máximo. Poções (todos salvo Salazar): média 2d8+4 (6–20) ×2 no início; fraca 1d8+2 (3–10) ×2 no início.</t>
  </si>
  <si>
    <t xml:space="preserve">Stats por nível (1 a 5)</t>
  </si>
  <si>
    <t xml:space="preserve">Calculado a partir da aba Crescimento. Altere as bases lá e estes números acompanham.</t>
  </si>
  <si>
    <t xml:space="preserve">Nível</t>
  </si>
  <si>
    <t xml:space="preserve">HP</t>
  </si>
  <si>
    <t xml:space="preserve">AT</t>
  </si>
  <si>
    <t xml:space="preserve">MAG</t>
  </si>
  <si>
    <t xml:space="preserve">DF</t>
  </si>
  <si>
    <t xml:space="preserve">RES</t>
  </si>
  <si>
    <t xml:space="preserve">Nv</t>
  </si>
  <si>
    <t xml:space="preserve">Laranja: nível em que a habilidade extra destrava (Neera nv 3 — segundo uso; Voss nv 4 — Relâmpago).</t>
  </si>
  <si>
    <t xml:space="preserve">Ganho total do nível 1 ao 5</t>
  </si>
  <si>
    <t xml:space="preserve">Δ HP</t>
  </si>
  <si>
    <t xml:space="preserve">Δ AT</t>
  </si>
  <si>
    <t xml:space="preserve">Δ MAG</t>
  </si>
  <si>
    <t xml:space="preserve">Δ DF</t>
  </si>
  <si>
    <t xml:space="preserve">Δ RES</t>
  </si>
  <si>
    <t xml:space="preserve">Habilidades por herói</t>
  </si>
  <si>
    <t xml:space="preserve">Usos são por combate. Recarregam no início de cada missão.</t>
  </si>
  <si>
    <t xml:space="preserve">Habilidade</t>
  </si>
  <si>
    <t xml:space="preserve">Destrava</t>
  </si>
  <si>
    <t xml:space="preserve">Usos nv 1–2</t>
  </si>
  <si>
    <t xml:space="preserve">Usos nv 3+</t>
  </si>
  <si>
    <t xml:space="preserve">Dano / cura</t>
  </si>
  <si>
    <t xml:space="preserve">Alvos</t>
  </si>
  <si>
    <t xml:space="preserve">Notas</t>
  </si>
  <si>
    <t xml:space="preserve">Ataque</t>
  </si>
  <si>
    <t xml:space="preserve">Nv 1</t>
  </si>
  <si>
    <t xml:space="preserve">—</t>
  </si>
  <si>
    <t xml:space="preserve">1</t>
  </si>
  <si>
    <t xml:space="preserve">AT − DF do alvo (mín. 1); 8% crítico ×1,5</t>
  </si>
  <si>
    <t xml:space="preserve">1 inimigo</t>
  </si>
  <si>
    <t xml:space="preserve">Sem habilidade especial por enquanto. Contra-ataque se o alvo alcançar.</t>
  </si>
  <si>
    <t xml:space="preserve">2–3</t>
  </si>
  <si>
    <t xml:space="preserve">Arco padrão. Contra-ataque só se o alvo alcançar.</t>
  </si>
  <si>
    <t xml:space="preserve">Tiro longo</t>
  </si>
  <si>
    <t xml:space="preserve">2–6</t>
  </si>
  <si>
    <t xml:space="preserve">AT + 1d8</t>
  </si>
  <si>
    <t xml:space="preserve">Dobra o alcance máximo. Contra-ataque só se o alvo ainda alcançar. Dois usos a partir do nv 3.</t>
  </si>
  <si>
    <t xml:space="preserve">Tiro perfurante</t>
  </si>
  <si>
    <t xml:space="preserve">Reta da colmeia até a borda</t>
  </si>
  <si>
    <t xml:space="preserve">AT em cada um na linha</t>
  </si>
  <si>
    <t xml:space="preserve">Todos na reta (aliados e inimigos)</t>
  </si>
  <si>
    <t xml:space="preserve">Uma das seis direções hexagonais. Fogo amigo. Dois usos a partir do nv 3.</t>
  </si>
  <si>
    <t xml:space="preserve">1–2</t>
  </si>
  <si>
    <t xml:space="preserve">MAG − RES do alvo (mín. 1)</t>
  </si>
  <si>
    <t xml:space="preserve">Ataque mágico curto.</t>
  </si>
  <si>
    <t xml:space="preserve">Bola de fogo</t>
  </si>
  <si>
    <t xml:space="preserve">4</t>
  </si>
  <si>
    <t xml:space="preserve">MAG − RES em cada um na área</t>
  </si>
  <si>
    <t xml:space="preserve">Área hex raio 2 (aliados e inimigos)</t>
  </si>
  <si>
    <t xml:space="preserve">Dois usos por combate em qualquer nível. Área larga, dano espalhado.</t>
  </si>
  <si>
    <t xml:space="preserve">Relâmpago</t>
  </si>
  <si>
    <t xml:space="preserve">Nv 4</t>
  </si>
  <si>
    <t xml:space="preserve">MAG + 2d8 (2–16 extra) num só alvo</t>
  </si>
  <si>
    <t xml:space="preserve">Dano concentrado. Só aparece no nv 4 ou mais. Um uso por combate.</t>
  </si>
  <si>
    <t xml:space="preserve">AT − DF do alvo (mín. 1)</t>
  </si>
  <si>
    <t xml:space="preserve">Corpo a corpo fraco. Sem poções — a cura vem das magias.</t>
  </si>
  <si>
    <t xml:space="preserve">Cura menor</t>
  </si>
  <si>
    <t xml:space="preserve">1d8+3 (4–11 HP)</t>
  </si>
  <si>
    <t xml:space="preserve">1 aliado ferido</t>
  </si>
  <si>
    <t xml:space="preserve">Dois usos por combate. Alcance 1 hex.</t>
  </si>
  <si>
    <t xml:space="preserve">Cura simples</t>
  </si>
  <si>
    <t xml:space="preserve">3d8+3 (6–27 HP)</t>
  </si>
  <si>
    <t xml:space="preserve">Um uso por combate. Cura pesada para quem chegou baixo.</t>
  </si>
  <si>
    <t xml:space="preserve">Poções (Kael, Neera, Voss): média 2d8+4 = 6–20 HP; fraca 1d8+2 = 3–10 HP. Começam com 2 de cada. Gastam a ação do turno. Salazar não carrega poções. Crítico de ataque: 8%, dano ×1,5. Inimigos: nv 2 a partir da Aldeia Queimada (cenário 3) e seguintes; nv 3 a partir do Templo de Asherah (cenário 6) e seguintes. Crescimento inimigo: +4 HP, +2 AT, +1 DF por nível.</t>
  </si>
  <si>
    <t xml:space="preserve">Progressão na campanha</t>
  </si>
  <si>
    <t xml:space="preserve">Nível do herói sobe 1 após cada vitória (teto 5). Inimigos sobem em patamares fixos de mapa e não voltam atrás.</t>
  </si>
  <si>
    <t xml:space="preserve">#</t>
  </si>
  <si>
    <t xml:space="preserve">Missão</t>
  </si>
  <si>
    <t xml:space="preserve">Lugar</t>
  </si>
  <si>
    <t xml:space="preserve">Nv heróis (se começarem no 1)</t>
  </si>
  <si>
    <t xml:space="preserve">Nv inimigos</t>
  </si>
  <si>
    <t xml:space="preserve">O Vau</t>
  </si>
  <si>
    <t xml:space="preserve">Rio de cinza</t>
  </si>
  <si>
    <t xml:space="preserve">Três heróis. Sem Salazar.</t>
  </si>
  <si>
    <t xml:space="preserve">Bosque Morto</t>
  </si>
  <si>
    <t xml:space="preserve">Troncos secos</t>
  </si>
  <si>
    <t xml:space="preserve">Ainda sem Salazar.</t>
  </si>
  <si>
    <t xml:space="preserve">Aldeia Queimada</t>
  </si>
  <si>
    <t xml:space="preserve">Casario em ruína</t>
  </si>
  <si>
    <t xml:space="preserve">Neera passa a 2 usos. Fogo no chão (1d8). Piqueiros alcance 2.</t>
  </si>
  <si>
    <t xml:space="preserve">Muralha Rasa</t>
  </si>
  <si>
    <t xml:space="preserve">Porta da fortaleza</t>
  </si>
  <si>
    <t xml:space="preserve">Voss destrava Relâmpago se chegou ao nv 4.</t>
  </si>
  <si>
    <t xml:space="preserve">Fortaleza de Cinzas</t>
  </si>
  <si>
    <t xml:space="preserve">Pátio interior</t>
  </si>
  <si>
    <t xml:space="preserve">Chefe: capitão. Vitória ao derrubar o chefe.</t>
  </si>
  <si>
    <t xml:space="preserve">Templo de Asherah</t>
  </si>
  <si>
    <t xml:space="preserve">Nave invertida</t>
  </si>
  <si>
    <t xml:space="preserve">Salazar entra. Asherah + feiticeiros. Inimigos nv 3.</t>
  </si>
  <si>
    <t xml:space="preserve">Cripta de Cinzas</t>
  </si>
  <si>
    <t xml:space="preserve">Sob o templo</t>
  </si>
  <si>
    <t xml:space="preserve">Inimigos permanecem nv 3 até novo aviso.</t>
  </si>
  <si>
    <t xml:space="preserve">A coluna de nível dos heróis assume campanha contínua a partir do nv 1, +1 por vitória. No modo teste o jogo usa nv = índice da missão + 1 (Aldeia já nv 3; Fortaleza nv 5). Save: 5 slots. O último usado carrega por padrão. Save no meio do combate grava o começo do combate, não o estado atual. Load existe em Opções.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</si>
</sst>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45A32"/>
      <name val="Calibri"/>
      <family val="0"/>
      <charset val="1"/>
    </font>
    <font>
      <i val="true"/>
      <sz val="11"/>
      <color rgb="FF5C534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8B3A2A"/>
      <name val="Calibri"/>
      <family val="0"/>
      <charset val="1"/>
    </font>
    <font>
      <sz val="10"/>
      <color rgb="FF2A241E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3D6A8A"/>
      <name val="Calibri"/>
      <family val="0"/>
      <charset val="1"/>
    </font>
    <font>
      <b val="true"/>
      <sz val="11"/>
      <color rgb="FF6B4C9A"/>
      <name val="Calibri"/>
      <family val="0"/>
      <charset val="1"/>
    </font>
    <font>
      <b val="true"/>
      <sz val="11"/>
      <color rgb="FF4A7A52"/>
      <name val="Calibri"/>
      <family val="0"/>
      <charset val="1"/>
    </font>
    <font>
      <i val="true"/>
      <sz val="9"/>
      <color rgb="FF6B6358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2"/>
      <color rgb="FFC45A32"/>
      <name val="Calibri"/>
      <family val="0"/>
      <charset val="1"/>
    </font>
    <font>
      <b val="true"/>
      <sz val="10"/>
      <color rgb="FF3A332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C45A32"/>
        <bgColor rgb="FFC0504D"/>
      </patternFill>
    </fill>
    <fill>
      <patternFill patternType="solid">
        <fgColor rgb="FFF3E0DA"/>
        <bgColor rgb="FFEDE4D6"/>
      </patternFill>
    </fill>
    <fill>
      <patternFill patternType="solid">
        <fgColor rgb="FFDCE6EE"/>
        <bgColor rgb="FFDCE8DE"/>
      </patternFill>
    </fill>
    <fill>
      <patternFill patternType="solid">
        <fgColor rgb="FFE6DFF0"/>
        <bgColor rgb="FFDCE6EE"/>
      </patternFill>
    </fill>
    <fill>
      <patternFill patternType="solid">
        <fgColor rgb="FFDCE8DE"/>
        <bgColor rgb="FFDCE6EE"/>
      </patternFill>
    </fill>
    <fill>
      <patternFill patternType="solid">
        <fgColor rgb="FFE8EFE8"/>
        <bgColor rgb="FFF7F1E8"/>
      </patternFill>
    </fill>
    <fill>
      <patternFill patternType="solid">
        <fgColor rgb="FFFFF3CD"/>
        <bgColor rgb="FFF7F1E8"/>
      </patternFill>
    </fill>
    <fill>
      <patternFill patternType="solid">
        <fgColor rgb="FF3A332C"/>
        <bgColor rgb="FF2A241E"/>
      </patternFill>
    </fill>
    <fill>
      <patternFill patternType="solid">
        <fgColor rgb="FFF7F1E8"/>
        <bgColor rgb="FFE8EFE8"/>
      </patternFill>
    </fill>
    <fill>
      <patternFill patternType="solid">
        <fgColor rgb="FFEDE4D6"/>
        <bgColor rgb="FFF3E0DA"/>
      </patternFill>
    </fill>
    <fill>
      <patternFill patternType="solid">
        <fgColor rgb="FFF4D6C8"/>
        <bgColor rgb="FFF3E0DA"/>
      </patternFill>
    </fill>
    <fill>
      <patternFill patternType="solid">
        <fgColor rgb="FFF8E6C8"/>
        <bgColor rgb="FFED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4B8A8"/>
      </left>
      <right style="thin">
        <color rgb="FFC4B8A8"/>
      </right>
      <top style="thin">
        <color rgb="FFC4B8A8"/>
      </top>
      <bottom style="thin">
        <color rgb="FFC4B8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C45A32"/>
          <bgColor rgb="FF000000"/>
        </patternFill>
      </fill>
    </dxf>
    <dxf>
      <fill>
        <patternFill patternType="solid">
          <fgColor rgb="FFDCE6EE"/>
          <bgColor rgb="FF000000"/>
        </patternFill>
      </fill>
    </dxf>
    <dxf>
      <fill>
        <patternFill patternType="solid">
          <fgColor rgb="FFDCE8DE"/>
          <bgColor rgb="FF000000"/>
        </patternFill>
      </fill>
    </dxf>
    <dxf>
      <fill>
        <patternFill patternType="solid">
          <fgColor rgb="FFE6DFF0"/>
          <bgColor rgb="FF000000"/>
        </patternFill>
      </fill>
    </dxf>
    <dxf>
      <fill>
        <patternFill patternType="solid">
          <fgColor rgb="FFF3E0DA"/>
          <bgColor rgb="FF000000"/>
        </patternFill>
      </fill>
    </dxf>
    <dxf>
      <fill>
        <patternFill patternType="solid">
          <fgColor rgb="FF3D6A8A"/>
          <bgColor rgb="FF000000"/>
        </patternFill>
      </fill>
    </dxf>
    <dxf>
      <fill>
        <patternFill patternType="solid">
          <fgColor rgb="FF4A7A52"/>
          <bgColor rgb="FF000000"/>
        </patternFill>
      </fill>
    </dxf>
    <dxf>
      <fill>
        <patternFill patternType="solid">
          <fgColor rgb="FF6B4C9A"/>
          <bgColor rgb="FF000000"/>
        </patternFill>
      </fill>
    </dxf>
    <dxf>
      <fill>
        <patternFill patternType="solid">
          <fgColor rgb="FF8B3A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A241E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D6C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1E8"/>
      <rgbColor rgb="FFFF00FF"/>
      <rgbColor rgb="FF00FFFF"/>
      <rgbColor rgb="FF800000"/>
      <rgbColor rgb="FF008000"/>
      <rgbColor rgb="FF000080"/>
      <rgbColor rgb="FF6B6358"/>
      <rgbColor rgb="FF800080"/>
      <rgbColor rgb="FF3D6A8A"/>
      <rgbColor rgb="FFC4B8A8"/>
      <rgbColor rgb="FF878787"/>
      <rgbColor rgb="FF9999FF"/>
      <rgbColor rgb="FFC0504D"/>
      <rgbColor rgb="FFFFF3CD"/>
      <rgbColor rgb="FFE8EFE8"/>
      <rgbColor rgb="FF660066"/>
      <rgbColor rgb="FFFF8080"/>
      <rgbColor rgb="FF0066CC"/>
      <rgbColor rgb="FFD9D9D9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DCE6EE"/>
      <rgbColor rgb="FFDCE8DE"/>
      <rgbColor rgb="FFF8E6C8"/>
      <rgbColor rgb="FFE6DFF0"/>
      <rgbColor rgb="FFF3E0DA"/>
      <rgbColor rgb="FFEDE4D6"/>
      <rgbColor rgb="FFF4D6C8"/>
      <rgbColor rgb="FF4F81BD"/>
      <rgbColor rgb="FF33CCCC"/>
      <rgbColor rgb="FF9BBB59"/>
      <rgbColor rgb="FFFFCC00"/>
      <rgbColor rgb="FFFF9900"/>
      <rgbColor rgb="FFC45A32"/>
      <rgbColor rgb="FF8064A2"/>
      <rgbColor rgb="FF969696"/>
      <rgbColor rgb="FF003366"/>
      <rgbColor rgb="FF4A7A52"/>
      <rgbColor rgb="FF003300"/>
      <rgbColor rgb="FF2A241E"/>
      <rgbColor rgb="FF8B3A2A"/>
      <rgbColor rgb="FF6B4C9A"/>
      <rgbColor rgb="FF5C5348"/>
      <rgbColor rgb="FF3A33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HP por nível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'Stats por nível'!K4</c:f>
              <c:strCache>
                <c:ptCount val="1"/>
                <c:pt idx="0">
                  <c:v>Kael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por nível'!$J$5:$J$9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'Stats por nível'!$K$5:$K$9</c:f>
              <c:numCache>
                <c:formatCode>General</c:formatCode>
                <c:ptCount val="5"/>
                <c:pt idx="0">
                  <c:v>24</c:v>
                </c:pt>
                <c:pt idx="1">
                  <c:v>28</c:v>
                </c:pt>
                <c:pt idx="2">
                  <c:v>32</c:v>
                </c:pt>
                <c:pt idx="3">
                  <c:v>36</c:v>
                </c:pt>
                <c:pt idx="4">
                  <c:v>40</c:v>
                </c:pt>
              </c:numCache>
            </c:numRef>
          </c:val>
        </c:ser>
        <c:ser>
          <c:idx val="1"/>
          <c:order val="1"/>
          <c:tx>
            <c:strRef>
              <c:f>'Stats por nível'!L4</c:f>
              <c:strCache>
                <c:ptCount val="1"/>
                <c:pt idx="0">
                  <c:v>Neera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por nível'!$J$5:$J$9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'Stats por nível'!$L$5:$L$9</c:f>
              <c:numCache>
                <c:formatCode>General</c:formatCode>
                <c:ptCount val="5"/>
                <c:pt idx="0">
                  <c:v>24</c:v>
                </c:pt>
                <c:pt idx="1">
                  <c:v>27</c:v>
                </c:pt>
                <c:pt idx="2">
                  <c:v>30</c:v>
                </c:pt>
                <c:pt idx="3">
                  <c:v>33</c:v>
                </c:pt>
                <c:pt idx="4">
                  <c:v>36</c:v>
                </c:pt>
              </c:numCache>
            </c:numRef>
          </c:val>
        </c:ser>
        <c:ser>
          <c:idx val="2"/>
          <c:order val="2"/>
          <c:tx>
            <c:strRef>
              <c:f>'Stats por nível'!M4</c:f>
              <c:strCache>
                <c:ptCount val="1"/>
                <c:pt idx="0">
                  <c:v>Voss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por nível'!$J$5:$J$9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'Stats por nível'!$M$5:$M$9</c:f>
              <c:numCache>
                <c:formatCode>General</c:formatCode>
                <c:ptCount val="5"/>
                <c:pt idx="0">
                  <c:v>22</c:v>
                </c:pt>
                <c:pt idx="1">
                  <c:v>25</c:v>
                </c:pt>
                <c:pt idx="2">
                  <c:v>28</c:v>
                </c:pt>
                <c:pt idx="3">
                  <c:v>31</c:v>
                </c:pt>
                <c:pt idx="4">
                  <c:v>34</c:v>
                </c:pt>
              </c:numCache>
            </c:numRef>
          </c:val>
        </c:ser>
        <c:ser>
          <c:idx val="3"/>
          <c:order val="3"/>
          <c:tx>
            <c:strRef>
              <c:f>'Stats por nível'!N4</c:f>
              <c:strCache>
                <c:ptCount val="1"/>
                <c:pt idx="0">
                  <c:v>Salazar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'Stats por nível'!$J$5:$J$9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'Stats por nível'!$N$5:$N$9</c:f>
              <c:numCache>
                <c:formatCode>General</c:formatCode>
                <c:ptCount val="5"/>
                <c:pt idx="0">
                  <c:v>26</c:v>
                </c:pt>
                <c:pt idx="1">
                  <c:v>29</c:v>
                </c:pt>
                <c:pt idx="2">
                  <c:v>32</c:v>
                </c:pt>
                <c:pt idx="3">
                  <c:v>35</c:v>
                </c:pt>
                <c:pt idx="4">
                  <c:v>38</c:v>
                </c:pt>
              </c:numCache>
            </c:numRef>
          </c:val>
        </c:ser>
        <c:gapWidth val="150"/>
        <c:overlap val="0"/>
        <c:axId val="42298327"/>
        <c:axId val="83367837"/>
      </c:barChart>
      <c:catAx>
        <c:axId val="4229832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Nível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67837"/>
        <c:crosses val="autoZero"/>
        <c:auto val="1"/>
        <c:lblAlgn val="ctr"/>
        <c:lblOffset val="100"/>
        <c:noMultiLvlLbl val="0"/>
      </c:catAx>
      <c:valAx>
        <c:axId val="8336783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983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11</xdr:row>
      <xdr:rowOff>0</xdr:rowOff>
    </xdr:from>
    <xdr:to>
      <xdr:col>17</xdr:col>
      <xdr:colOff>40680</xdr:colOff>
      <xdr:row>26</xdr:row>
      <xdr:rowOff>21960</xdr:rowOff>
    </xdr:to>
    <xdr:graphicFrame>
      <xdr:nvGraphicFramePr>
        <xdr:cNvPr id="0" name="Chart 1"/>
        <xdr:cNvGraphicFramePr/>
      </xdr:nvGraphicFramePr>
      <xdr:xfrm>
        <a:off x="5545440" y="22287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58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7.75" hidden="false" customHeight="true" outlineLevel="0" collapsed="false">
      <c r="A5" s="4" t="s">
        <v>7</v>
      </c>
      <c r="B5" s="5" t="s">
        <v>8</v>
      </c>
      <c r="C5" s="6" t="str">
        <f aca="false">'Stats por nível'!C5&amp;" → "&amp;'Stats por nível'!C9</f>
        <v>24 → 40</v>
      </c>
      <c r="D5" s="6" t="str">
        <f aca="false">"AT "&amp;'Stats por nível'!D5&amp;" → "&amp;'Stats por nível'!D9</f>
        <v>AT 8 → 16</v>
      </c>
      <c r="E5" s="5" t="s">
        <v>9</v>
      </c>
    </row>
    <row r="6" customFormat="false" ht="27.75" hidden="false" customHeight="true" outlineLevel="0" collapsed="false">
      <c r="A6" s="7" t="s">
        <v>10</v>
      </c>
      <c r="B6" s="8" t="s">
        <v>11</v>
      </c>
      <c r="C6" s="9" t="str">
        <f aca="false">'Stats por nível'!C10&amp;" → "&amp;'Stats por nível'!C14</f>
        <v>24 → 36</v>
      </c>
      <c r="D6" s="9" t="str">
        <f aca="false">"AT "&amp;'Stats por nível'!D10&amp;" → "&amp;'Stats por nível'!D14</f>
        <v>AT 8 → 16</v>
      </c>
      <c r="E6" s="8" t="s">
        <v>12</v>
      </c>
    </row>
    <row r="7" customFormat="false" ht="27.75" hidden="false" customHeight="true" outlineLevel="0" collapsed="false">
      <c r="A7" s="10" t="s">
        <v>13</v>
      </c>
      <c r="B7" s="11" t="s">
        <v>14</v>
      </c>
      <c r="C7" s="12" t="str">
        <f aca="false">'Stats por nível'!C15&amp;" → "&amp;'Stats por nível'!C19</f>
        <v>22 → 34</v>
      </c>
      <c r="D7" s="12" t="str">
        <f aca="false">"MAG "&amp;'Stats por nível'!E15&amp;" → "&amp;'Stats por nível'!E19</f>
        <v>MAG 10 → 18</v>
      </c>
      <c r="E7" s="11" t="s">
        <v>15</v>
      </c>
    </row>
    <row r="8" customFormat="false" ht="27.75" hidden="false" customHeight="true" outlineLevel="0" collapsed="false">
      <c r="A8" s="13" t="s">
        <v>16</v>
      </c>
      <c r="B8" s="14" t="s">
        <v>17</v>
      </c>
      <c r="C8" s="15" t="str">
        <f aca="false">'Stats por nível'!C20&amp;" → "&amp;'Stats por nível'!C24</f>
        <v>26 → 38</v>
      </c>
      <c r="D8" s="15" t="str">
        <f aca="false">"MAG "&amp;'Stats por nível'!E20&amp;" → "&amp;'Stats por nível'!E24</f>
        <v>MAG 8 → 16</v>
      </c>
      <c r="E8" s="14" t="s">
        <v>18</v>
      </c>
    </row>
    <row r="10" customFormat="false" ht="48" hidden="false" customHeight="true" outlineLevel="0" collapsed="false">
      <c r="A10" s="16" t="s">
        <v>19</v>
      </c>
      <c r="B10" s="16"/>
      <c r="C10" s="16"/>
      <c r="D10" s="16"/>
      <c r="E10" s="16"/>
    </row>
    <row r="11" customFormat="false" ht="15" hidden="false" customHeight="false" outlineLevel="0" collapsed="false">
      <c r="A11" s="16"/>
      <c r="B11" s="16"/>
      <c r="C11" s="16"/>
      <c r="D11" s="16"/>
      <c r="E11" s="16"/>
    </row>
    <row r="12" customFormat="false" ht="15" hidden="false" customHeight="false" outlineLevel="0" collapsed="false">
      <c r="A12" s="16"/>
      <c r="B12" s="16"/>
      <c r="C12" s="16"/>
      <c r="D12" s="16"/>
      <c r="E12" s="16"/>
    </row>
  </sheetData>
  <mergeCells count="3">
    <mergeCell ref="A1:E1"/>
    <mergeCell ref="A2:E2"/>
    <mergeCell ref="A10:E1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&amp;LEmber — Resumo</oddHeader>
    <oddFooter>&amp;RPág.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1" min="10" style="0" width="13"/>
    <col collapsed="false" customWidth="true" hidden="false" outlineLevel="0" max="12" min="12" style="0" width="10"/>
  </cols>
  <sheetData>
    <row r="1" customFormat="false" ht="27.75" hidden="false" customHeight="true" outlineLevel="0" collapsed="false">
      <c r="A1" s="17" t="s">
        <v>20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customFormat="false" ht="31.5" hidden="false" customHeight="true" outlineLevel="0" collapsed="false">
      <c r="A2" s="18" t="s">
        <v>21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customFormat="false" ht="15" hidden="false" customHeight="false" outlineLevel="0" collapsed="false">
      <c r="A4" s="3" t="s">
        <v>2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3" t="s">
        <v>32</v>
      </c>
    </row>
    <row r="5" customFormat="false" ht="15" hidden="false" customHeight="false" outlineLevel="0" collapsed="false">
      <c r="A5" s="4" t="s">
        <v>7</v>
      </c>
      <c r="B5" s="5" t="s">
        <v>33</v>
      </c>
      <c r="C5" s="5" t="s">
        <v>34</v>
      </c>
      <c r="D5" s="19" t="n">
        <v>24</v>
      </c>
      <c r="E5" s="19" t="n">
        <v>8</v>
      </c>
      <c r="F5" s="19" t="n">
        <v>0</v>
      </c>
      <c r="G5" s="19" t="n">
        <v>3</v>
      </c>
      <c r="H5" s="19" t="n">
        <v>4</v>
      </c>
      <c r="I5" s="19" t="n">
        <v>4</v>
      </c>
      <c r="J5" s="19" t="n">
        <v>1</v>
      </c>
      <c r="K5" s="19" t="n">
        <v>1</v>
      </c>
      <c r="L5" s="20" t="s">
        <v>35</v>
      </c>
    </row>
    <row r="6" customFormat="false" ht="15" hidden="false" customHeight="false" outlineLevel="0" collapsed="false">
      <c r="A6" s="7" t="s">
        <v>10</v>
      </c>
      <c r="B6" s="8" t="s">
        <v>36</v>
      </c>
      <c r="C6" s="8" t="s">
        <v>37</v>
      </c>
      <c r="D6" s="19" t="n">
        <v>24</v>
      </c>
      <c r="E6" s="19" t="n">
        <v>8</v>
      </c>
      <c r="F6" s="19" t="n">
        <v>0</v>
      </c>
      <c r="G6" s="19" t="n">
        <v>3</v>
      </c>
      <c r="H6" s="19" t="n">
        <v>4</v>
      </c>
      <c r="I6" s="19" t="n">
        <v>4</v>
      </c>
      <c r="J6" s="19" t="n">
        <v>2</v>
      </c>
      <c r="K6" s="19" t="n">
        <v>3</v>
      </c>
      <c r="L6" s="21" t="s">
        <v>38</v>
      </c>
    </row>
    <row r="7" customFormat="false" ht="15" hidden="false" customHeight="false" outlineLevel="0" collapsed="false">
      <c r="A7" s="10" t="s">
        <v>13</v>
      </c>
      <c r="B7" s="11" t="s">
        <v>39</v>
      </c>
      <c r="C7" s="11" t="s">
        <v>40</v>
      </c>
      <c r="D7" s="19" t="n">
        <v>22</v>
      </c>
      <c r="E7" s="19" t="n">
        <v>3</v>
      </c>
      <c r="F7" s="19" t="n">
        <v>10</v>
      </c>
      <c r="G7" s="19" t="n">
        <v>2</v>
      </c>
      <c r="H7" s="19" t="n">
        <v>6</v>
      </c>
      <c r="I7" s="19" t="n">
        <v>3</v>
      </c>
      <c r="J7" s="19" t="n">
        <v>1</v>
      </c>
      <c r="K7" s="19" t="n">
        <v>2</v>
      </c>
      <c r="L7" s="22" t="s">
        <v>41</v>
      </c>
    </row>
    <row r="8" customFormat="false" ht="15" hidden="false" customHeight="false" outlineLevel="0" collapsed="false">
      <c r="A8" s="13" t="s">
        <v>16</v>
      </c>
      <c r="B8" s="14" t="s">
        <v>42</v>
      </c>
      <c r="C8" s="14" t="s">
        <v>43</v>
      </c>
      <c r="D8" s="19" t="n">
        <v>26</v>
      </c>
      <c r="E8" s="19" t="n">
        <v>4</v>
      </c>
      <c r="F8" s="19" t="n">
        <v>8</v>
      </c>
      <c r="G8" s="19" t="n">
        <v>3</v>
      </c>
      <c r="H8" s="19" t="n">
        <v>6</v>
      </c>
      <c r="I8" s="19" t="n">
        <v>3</v>
      </c>
      <c r="J8" s="19" t="n">
        <v>1</v>
      </c>
      <c r="K8" s="19" t="n">
        <v>1</v>
      </c>
      <c r="L8" s="23" t="s">
        <v>44</v>
      </c>
    </row>
    <row r="10" customFormat="false" ht="15" hidden="false" customHeight="false" outlineLevel="0" collapsed="false">
      <c r="A10" s="24" t="s">
        <v>45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</row>
    <row r="11" customFormat="false" ht="15" hidden="false" customHeight="false" outlineLevel="0" collapsed="false">
      <c r="A11" s="25" t="s">
        <v>2</v>
      </c>
      <c r="B11" s="25" t="s">
        <v>46</v>
      </c>
      <c r="C11" s="25" t="s">
        <v>47</v>
      </c>
      <c r="D11" s="25" t="s">
        <v>48</v>
      </c>
      <c r="E11" s="25" t="s">
        <v>49</v>
      </c>
      <c r="F11" s="25" t="s">
        <v>50</v>
      </c>
    </row>
    <row r="12" customFormat="false" ht="15" hidden="false" customHeight="false" outlineLevel="0" collapsed="false">
      <c r="A12" s="4" t="s">
        <v>7</v>
      </c>
      <c r="B12" s="19" t="n">
        <v>4</v>
      </c>
      <c r="C12" s="19" t="n">
        <v>2</v>
      </c>
      <c r="D12" s="19" t="n">
        <v>0</v>
      </c>
      <c r="E12" s="19" t="n">
        <v>1</v>
      </c>
      <c r="F12" s="19" t="n">
        <v>0</v>
      </c>
    </row>
    <row r="13" customFormat="false" ht="15" hidden="false" customHeight="false" outlineLevel="0" collapsed="false">
      <c r="A13" s="7" t="s">
        <v>10</v>
      </c>
      <c r="B13" s="19" t="n">
        <v>3</v>
      </c>
      <c r="C13" s="19" t="n">
        <v>2</v>
      </c>
      <c r="D13" s="19" t="n">
        <v>0</v>
      </c>
      <c r="E13" s="19" t="n">
        <v>1</v>
      </c>
      <c r="F13" s="19" t="n">
        <v>0</v>
      </c>
    </row>
    <row r="14" customFormat="false" ht="15" hidden="false" customHeight="false" outlineLevel="0" collapsed="false">
      <c r="A14" s="10" t="s">
        <v>13</v>
      </c>
      <c r="B14" s="19" t="n">
        <v>3</v>
      </c>
      <c r="C14" s="19" t="n">
        <v>0</v>
      </c>
      <c r="D14" s="19" t="n">
        <v>2</v>
      </c>
      <c r="E14" s="19" t="n">
        <v>0</v>
      </c>
      <c r="F14" s="19" t="n">
        <v>1</v>
      </c>
    </row>
    <row r="15" customFormat="false" ht="15" hidden="false" customHeight="false" outlineLevel="0" collapsed="false">
      <c r="A15" s="13" t="s">
        <v>16</v>
      </c>
      <c r="B15" s="19" t="n">
        <v>3</v>
      </c>
      <c r="C15" s="19" t="n">
        <v>0</v>
      </c>
      <c r="D15" s="19" t="n">
        <v>2</v>
      </c>
      <c r="E15" s="19" t="n">
        <v>0</v>
      </c>
      <c r="F15" s="19" t="n">
        <v>1</v>
      </c>
    </row>
    <row r="17" customFormat="false" ht="15" hidden="false" customHeight="false" outlineLevel="0" collapsed="false">
      <c r="A17" s="26" t="s">
        <v>51</v>
      </c>
      <c r="B17" s="19" t="n">
        <v>5</v>
      </c>
    </row>
    <row r="19" customFormat="false" ht="48" hidden="false" customHeight="true" outlineLevel="0" collapsed="false">
      <c r="A19" s="16" t="s">
        <v>52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customFormat="false" ht="15" hidden="false" customHeight="false" outlineLevel="0" collapsed="false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customFormat="false" ht="15" hidden="false" customHeight="false" outlineLevel="0" collapsed="false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</sheetData>
  <autoFilter ref="A4:L8"/>
  <mergeCells count="4">
    <mergeCell ref="A1:L1"/>
    <mergeCell ref="A2:L2"/>
    <mergeCell ref="A10:L10"/>
    <mergeCell ref="A19:L21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&amp;LEmber — Crescimento</oddHeader>
    <oddFooter>&amp;RPág.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8" min="3" style="0" width="8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12"/>
  </cols>
  <sheetData>
    <row r="1" customFormat="false" ht="25.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54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55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60</v>
      </c>
      <c r="H4" s="3" t="s">
        <v>29</v>
      </c>
      <c r="J4" s="25" t="s">
        <v>61</v>
      </c>
      <c r="K4" s="25" t="s">
        <v>7</v>
      </c>
      <c r="L4" s="25" t="s">
        <v>10</v>
      </c>
      <c r="M4" s="25" t="s">
        <v>13</v>
      </c>
      <c r="N4" s="25" t="s">
        <v>16</v>
      </c>
    </row>
    <row r="5" customFormat="false" ht="15" hidden="false" customHeight="false" outlineLevel="0" collapsed="false">
      <c r="A5" s="27" t="str">
        <f aca="false">Crescimento!A5</f>
        <v>Kael</v>
      </c>
      <c r="B5" s="28" t="n">
        <v>1</v>
      </c>
      <c r="C5" s="28" t="n">
        <f aca="false">Crescimento!D5+Crescimento!B12*MAX(0,MIN(Crescimento!$B$17,1)-1)</f>
        <v>24</v>
      </c>
      <c r="D5" s="28" t="n">
        <f aca="false">Crescimento!E5+Crescimento!C12*MAX(0,MIN(Crescimento!$B$17,1)-1)</f>
        <v>8</v>
      </c>
      <c r="E5" s="28" t="n">
        <f aca="false">Crescimento!F5+Crescimento!D12*MAX(0,MIN(Crescimento!$B$17,1)-1)</f>
        <v>0</v>
      </c>
      <c r="F5" s="28" t="n">
        <f aca="false">Crescimento!G5+Crescimento!E12*MAX(0,MIN(Crescimento!$B$17,1)-1)</f>
        <v>3</v>
      </c>
      <c r="G5" s="28" t="n">
        <f aca="false">Crescimento!H5+Crescimento!F12*MAX(0,MIN(Crescimento!$B$17,1)-1)</f>
        <v>4</v>
      </c>
      <c r="H5" s="28" t="n">
        <f aca="false">Crescimento!I5</f>
        <v>4</v>
      </c>
      <c r="J5" s="29" t="n">
        <v>1</v>
      </c>
      <c r="K5" s="29" t="n">
        <f aca="false">C5</f>
        <v>24</v>
      </c>
      <c r="L5" s="29" t="n">
        <f aca="false">C10</f>
        <v>24</v>
      </c>
      <c r="M5" s="29" t="n">
        <f aca="false">C15</f>
        <v>22</v>
      </c>
      <c r="N5" s="29" t="n">
        <f aca="false">C20</f>
        <v>26</v>
      </c>
    </row>
    <row r="6" customFormat="false" ht="15" hidden="false" customHeight="false" outlineLevel="0" collapsed="false">
      <c r="A6" s="27" t="str">
        <f aca="false">Crescimento!A5</f>
        <v>Kael</v>
      </c>
      <c r="B6" s="30" t="n">
        <v>2</v>
      </c>
      <c r="C6" s="30" t="n">
        <f aca="false">Crescimento!D5+Crescimento!B12*MAX(0,MIN(Crescimento!$B$17,2)-1)</f>
        <v>28</v>
      </c>
      <c r="D6" s="30" t="n">
        <f aca="false">Crescimento!E5+Crescimento!C12*MAX(0,MIN(Crescimento!$B$17,2)-1)</f>
        <v>10</v>
      </c>
      <c r="E6" s="30" t="n">
        <f aca="false">Crescimento!F5+Crescimento!D12*MAX(0,MIN(Crescimento!$B$17,2)-1)</f>
        <v>0</v>
      </c>
      <c r="F6" s="30" t="n">
        <f aca="false">Crescimento!G5+Crescimento!E12*MAX(0,MIN(Crescimento!$B$17,2)-1)</f>
        <v>4</v>
      </c>
      <c r="G6" s="30" t="n">
        <f aca="false">Crescimento!H5+Crescimento!F12*MAX(0,MIN(Crescimento!$B$17,2)-1)</f>
        <v>4</v>
      </c>
      <c r="H6" s="30" t="n">
        <f aca="false">Crescimento!I5</f>
        <v>4</v>
      </c>
      <c r="J6" s="29" t="n">
        <v>2</v>
      </c>
      <c r="K6" s="29" t="n">
        <f aca="false">C6</f>
        <v>28</v>
      </c>
      <c r="L6" s="29" t="n">
        <f aca="false">C11</f>
        <v>27</v>
      </c>
      <c r="M6" s="29" t="n">
        <f aca="false">C16</f>
        <v>25</v>
      </c>
      <c r="N6" s="29" t="n">
        <f aca="false">C21</f>
        <v>29</v>
      </c>
    </row>
    <row r="7" customFormat="false" ht="15" hidden="false" customHeight="false" outlineLevel="0" collapsed="false">
      <c r="A7" s="27" t="str">
        <f aca="false">Crescimento!A5</f>
        <v>Kael</v>
      </c>
      <c r="B7" s="31" t="n">
        <v>3</v>
      </c>
      <c r="C7" s="31" t="n">
        <f aca="false">Crescimento!D5+Crescimento!B12*MAX(0,MIN(Crescimento!$B$17,3)-1)</f>
        <v>32</v>
      </c>
      <c r="D7" s="31" t="n">
        <f aca="false">Crescimento!E5+Crescimento!C12*MAX(0,MIN(Crescimento!$B$17,3)-1)</f>
        <v>12</v>
      </c>
      <c r="E7" s="31" t="n">
        <f aca="false">Crescimento!F5+Crescimento!D12*MAX(0,MIN(Crescimento!$B$17,3)-1)</f>
        <v>0</v>
      </c>
      <c r="F7" s="31" t="n">
        <f aca="false">Crescimento!G5+Crescimento!E12*MAX(0,MIN(Crescimento!$B$17,3)-1)</f>
        <v>5</v>
      </c>
      <c r="G7" s="31" t="n">
        <f aca="false">Crescimento!H5+Crescimento!F12*MAX(0,MIN(Crescimento!$B$17,3)-1)</f>
        <v>4</v>
      </c>
      <c r="H7" s="31" t="n">
        <f aca="false">Crescimento!I5</f>
        <v>4</v>
      </c>
      <c r="J7" s="29" t="n">
        <v>3</v>
      </c>
      <c r="K7" s="29" t="n">
        <f aca="false">C7</f>
        <v>32</v>
      </c>
      <c r="L7" s="29" t="n">
        <f aca="false">C12</f>
        <v>30</v>
      </c>
      <c r="M7" s="29" t="n">
        <f aca="false">C17</f>
        <v>28</v>
      </c>
      <c r="N7" s="29" t="n">
        <f aca="false">C22</f>
        <v>32</v>
      </c>
    </row>
    <row r="8" customFormat="false" ht="15" hidden="false" customHeight="false" outlineLevel="0" collapsed="false">
      <c r="A8" s="27" t="str">
        <f aca="false">Crescimento!A5</f>
        <v>Kael</v>
      </c>
      <c r="B8" s="30" t="n">
        <v>4</v>
      </c>
      <c r="C8" s="30" t="n">
        <f aca="false">Crescimento!D5+Crescimento!B12*MAX(0,MIN(Crescimento!$B$17,4)-1)</f>
        <v>36</v>
      </c>
      <c r="D8" s="30" t="n">
        <f aca="false">Crescimento!E5+Crescimento!C12*MAX(0,MIN(Crescimento!$B$17,4)-1)</f>
        <v>14</v>
      </c>
      <c r="E8" s="30" t="n">
        <f aca="false">Crescimento!F5+Crescimento!D12*MAX(0,MIN(Crescimento!$B$17,4)-1)</f>
        <v>0</v>
      </c>
      <c r="F8" s="30" t="n">
        <f aca="false">Crescimento!G5+Crescimento!E12*MAX(0,MIN(Crescimento!$B$17,4)-1)</f>
        <v>6</v>
      </c>
      <c r="G8" s="30" t="n">
        <f aca="false">Crescimento!H5+Crescimento!F12*MAX(0,MIN(Crescimento!$B$17,4)-1)</f>
        <v>4</v>
      </c>
      <c r="H8" s="30" t="n">
        <f aca="false">Crescimento!I5</f>
        <v>4</v>
      </c>
      <c r="J8" s="29" t="n">
        <v>4</v>
      </c>
      <c r="K8" s="29" t="n">
        <f aca="false">C8</f>
        <v>36</v>
      </c>
      <c r="L8" s="29" t="n">
        <f aca="false">C13</f>
        <v>33</v>
      </c>
      <c r="M8" s="29" t="n">
        <f aca="false">C18</f>
        <v>31</v>
      </c>
      <c r="N8" s="29" t="n">
        <f aca="false">C23</f>
        <v>35</v>
      </c>
    </row>
    <row r="9" customFormat="false" ht="15" hidden="false" customHeight="false" outlineLevel="0" collapsed="false">
      <c r="A9" s="27" t="str">
        <f aca="false">Crescimento!A5</f>
        <v>Kael</v>
      </c>
      <c r="B9" s="31" t="n">
        <v>5</v>
      </c>
      <c r="C9" s="31" t="n">
        <f aca="false">Crescimento!D5+Crescimento!B12*MAX(0,MIN(Crescimento!$B$17,5)-1)</f>
        <v>40</v>
      </c>
      <c r="D9" s="31" t="n">
        <f aca="false">Crescimento!E5+Crescimento!C12*MAX(0,MIN(Crescimento!$B$17,5)-1)</f>
        <v>16</v>
      </c>
      <c r="E9" s="31" t="n">
        <f aca="false">Crescimento!F5+Crescimento!D12*MAX(0,MIN(Crescimento!$B$17,5)-1)</f>
        <v>0</v>
      </c>
      <c r="F9" s="31" t="n">
        <f aca="false">Crescimento!G5+Crescimento!E12*MAX(0,MIN(Crescimento!$B$17,5)-1)</f>
        <v>7</v>
      </c>
      <c r="G9" s="31" t="n">
        <f aca="false">Crescimento!H5+Crescimento!F12*MAX(0,MIN(Crescimento!$B$17,5)-1)</f>
        <v>4</v>
      </c>
      <c r="H9" s="31" t="n">
        <f aca="false">Crescimento!I5</f>
        <v>4</v>
      </c>
      <c r="J9" s="29" t="n">
        <v>5</v>
      </c>
      <c r="K9" s="29" t="n">
        <f aca="false">C9</f>
        <v>40</v>
      </c>
      <c r="L9" s="29" t="n">
        <f aca="false">C14</f>
        <v>36</v>
      </c>
      <c r="M9" s="29" t="n">
        <f aca="false">C19</f>
        <v>34</v>
      </c>
      <c r="N9" s="29" t="n">
        <f aca="false">C24</f>
        <v>38</v>
      </c>
    </row>
    <row r="10" customFormat="false" ht="15" hidden="false" customHeight="false" outlineLevel="0" collapsed="false">
      <c r="A10" s="32" t="str">
        <f aca="false">Crescimento!A6</f>
        <v>Neera</v>
      </c>
      <c r="B10" s="33" t="n">
        <v>1</v>
      </c>
      <c r="C10" s="33" t="n">
        <f aca="false">Crescimento!D6+Crescimento!B13*MAX(0,MIN(Crescimento!$B$17,1)-1)</f>
        <v>24</v>
      </c>
      <c r="D10" s="33" t="n">
        <f aca="false">Crescimento!E6+Crescimento!C13*MAX(0,MIN(Crescimento!$B$17,1)-1)</f>
        <v>8</v>
      </c>
      <c r="E10" s="33" t="n">
        <f aca="false">Crescimento!F6+Crescimento!D13*MAX(0,MIN(Crescimento!$B$17,1)-1)</f>
        <v>0</v>
      </c>
      <c r="F10" s="33" t="n">
        <f aca="false">Crescimento!G6+Crescimento!E13*MAX(0,MIN(Crescimento!$B$17,1)-1)</f>
        <v>3</v>
      </c>
      <c r="G10" s="33" t="n">
        <f aca="false">Crescimento!H6+Crescimento!F13*MAX(0,MIN(Crescimento!$B$17,1)-1)</f>
        <v>4</v>
      </c>
      <c r="H10" s="33" t="n">
        <f aca="false">Crescimento!I6</f>
        <v>4</v>
      </c>
    </row>
    <row r="11" customFormat="false" ht="15" hidden="false" customHeight="false" outlineLevel="0" collapsed="false">
      <c r="A11" s="32" t="str">
        <f aca="false">Crescimento!A6</f>
        <v>Neera</v>
      </c>
      <c r="B11" s="30" t="n">
        <v>2</v>
      </c>
      <c r="C11" s="30" t="n">
        <f aca="false">Crescimento!D6+Crescimento!B13*MAX(0,MIN(Crescimento!$B$17,2)-1)</f>
        <v>27</v>
      </c>
      <c r="D11" s="30" t="n">
        <f aca="false">Crescimento!E6+Crescimento!C13*MAX(0,MIN(Crescimento!$B$17,2)-1)</f>
        <v>10</v>
      </c>
      <c r="E11" s="30" t="n">
        <f aca="false">Crescimento!F6+Crescimento!D13*MAX(0,MIN(Crescimento!$B$17,2)-1)</f>
        <v>0</v>
      </c>
      <c r="F11" s="30" t="n">
        <f aca="false">Crescimento!G6+Crescimento!E13*MAX(0,MIN(Crescimento!$B$17,2)-1)</f>
        <v>4</v>
      </c>
      <c r="G11" s="30" t="n">
        <f aca="false">Crescimento!H6+Crescimento!F13*MAX(0,MIN(Crescimento!$B$17,2)-1)</f>
        <v>4</v>
      </c>
      <c r="H11" s="30" t="n">
        <f aca="false">Crescimento!I6</f>
        <v>4</v>
      </c>
    </row>
    <row r="12" customFormat="false" ht="15" hidden="false" customHeight="false" outlineLevel="0" collapsed="false">
      <c r="A12" s="34" t="str">
        <f aca="false">Crescimento!A6</f>
        <v>Neera</v>
      </c>
      <c r="B12" s="35" t="n">
        <v>3</v>
      </c>
      <c r="C12" s="35" t="n">
        <f aca="false">Crescimento!D6+Crescimento!B13*MAX(0,MIN(Crescimento!$B$17,3)-1)</f>
        <v>30</v>
      </c>
      <c r="D12" s="35" t="n">
        <f aca="false">Crescimento!E6+Crescimento!C13*MAX(0,MIN(Crescimento!$B$17,3)-1)</f>
        <v>12</v>
      </c>
      <c r="E12" s="35" t="n">
        <f aca="false">Crescimento!F6+Crescimento!D13*MAX(0,MIN(Crescimento!$B$17,3)-1)</f>
        <v>0</v>
      </c>
      <c r="F12" s="35" t="n">
        <f aca="false">Crescimento!G6+Crescimento!E13*MAX(0,MIN(Crescimento!$B$17,3)-1)</f>
        <v>5</v>
      </c>
      <c r="G12" s="35" t="n">
        <f aca="false">Crescimento!H6+Crescimento!F13*MAX(0,MIN(Crescimento!$B$17,3)-1)</f>
        <v>4</v>
      </c>
      <c r="H12" s="35" t="n">
        <f aca="false">Crescimento!I6</f>
        <v>4</v>
      </c>
    </row>
    <row r="13" customFormat="false" ht="15" hidden="false" customHeight="false" outlineLevel="0" collapsed="false">
      <c r="A13" s="32" t="str">
        <f aca="false">Crescimento!A6</f>
        <v>Neera</v>
      </c>
      <c r="B13" s="30" t="n">
        <v>4</v>
      </c>
      <c r="C13" s="30" t="n">
        <f aca="false">Crescimento!D6+Crescimento!B13*MAX(0,MIN(Crescimento!$B$17,4)-1)</f>
        <v>33</v>
      </c>
      <c r="D13" s="30" t="n">
        <f aca="false">Crescimento!E6+Crescimento!C13*MAX(0,MIN(Crescimento!$B$17,4)-1)</f>
        <v>14</v>
      </c>
      <c r="E13" s="30" t="n">
        <f aca="false">Crescimento!F6+Crescimento!D13*MAX(0,MIN(Crescimento!$B$17,4)-1)</f>
        <v>0</v>
      </c>
      <c r="F13" s="30" t="n">
        <f aca="false">Crescimento!G6+Crescimento!E13*MAX(0,MIN(Crescimento!$B$17,4)-1)</f>
        <v>6</v>
      </c>
      <c r="G13" s="30" t="n">
        <f aca="false">Crescimento!H6+Crescimento!F13*MAX(0,MIN(Crescimento!$B$17,4)-1)</f>
        <v>4</v>
      </c>
      <c r="H13" s="30" t="n">
        <f aca="false">Crescimento!I6</f>
        <v>4</v>
      </c>
    </row>
    <row r="14" customFormat="false" ht="15" hidden="false" customHeight="false" outlineLevel="0" collapsed="false">
      <c r="A14" s="32" t="str">
        <f aca="false">Crescimento!A6</f>
        <v>Neera</v>
      </c>
      <c r="B14" s="31" t="n">
        <v>5</v>
      </c>
      <c r="C14" s="31" t="n">
        <f aca="false">Crescimento!D6+Crescimento!B13*MAX(0,MIN(Crescimento!$B$17,5)-1)</f>
        <v>36</v>
      </c>
      <c r="D14" s="31" t="n">
        <f aca="false">Crescimento!E6+Crescimento!C13*MAX(0,MIN(Crescimento!$B$17,5)-1)</f>
        <v>16</v>
      </c>
      <c r="E14" s="31" t="n">
        <f aca="false">Crescimento!F6+Crescimento!D13*MAX(0,MIN(Crescimento!$B$17,5)-1)</f>
        <v>0</v>
      </c>
      <c r="F14" s="31" t="n">
        <f aca="false">Crescimento!G6+Crescimento!E13*MAX(0,MIN(Crescimento!$B$17,5)-1)</f>
        <v>7</v>
      </c>
      <c r="G14" s="31" t="n">
        <f aca="false">Crescimento!H6+Crescimento!F13*MAX(0,MIN(Crescimento!$B$17,5)-1)</f>
        <v>4</v>
      </c>
      <c r="H14" s="31" t="n">
        <f aca="false">Crescimento!I6</f>
        <v>4</v>
      </c>
    </row>
    <row r="15" customFormat="false" ht="15" hidden="false" customHeight="false" outlineLevel="0" collapsed="false">
      <c r="A15" s="36" t="str">
        <f aca="false">Crescimento!A7</f>
        <v>Voss</v>
      </c>
      <c r="B15" s="37" t="n">
        <v>1</v>
      </c>
      <c r="C15" s="37" t="n">
        <f aca="false">Crescimento!D7+Crescimento!B14*MAX(0,MIN(Crescimento!$B$17,1)-1)</f>
        <v>22</v>
      </c>
      <c r="D15" s="37" t="n">
        <f aca="false">Crescimento!E7+Crescimento!C14*MAX(0,MIN(Crescimento!$B$17,1)-1)</f>
        <v>3</v>
      </c>
      <c r="E15" s="37" t="n">
        <f aca="false">Crescimento!F7+Crescimento!D14*MAX(0,MIN(Crescimento!$B$17,1)-1)</f>
        <v>10</v>
      </c>
      <c r="F15" s="37" t="n">
        <f aca="false">Crescimento!G7+Crescimento!E14*MAX(0,MIN(Crescimento!$B$17,1)-1)</f>
        <v>2</v>
      </c>
      <c r="G15" s="37" t="n">
        <f aca="false">Crescimento!H7+Crescimento!F14*MAX(0,MIN(Crescimento!$B$17,1)-1)</f>
        <v>6</v>
      </c>
      <c r="H15" s="37" t="n">
        <f aca="false">Crescimento!I7</f>
        <v>3</v>
      </c>
    </row>
    <row r="16" customFormat="false" ht="15" hidden="false" customHeight="false" outlineLevel="0" collapsed="false">
      <c r="A16" s="36" t="str">
        <f aca="false">Crescimento!A7</f>
        <v>Voss</v>
      </c>
      <c r="B16" s="30" t="n">
        <v>2</v>
      </c>
      <c r="C16" s="30" t="n">
        <f aca="false">Crescimento!D7+Crescimento!B14*MAX(0,MIN(Crescimento!$B$17,2)-1)</f>
        <v>25</v>
      </c>
      <c r="D16" s="30" t="n">
        <f aca="false">Crescimento!E7+Crescimento!C14*MAX(0,MIN(Crescimento!$B$17,2)-1)</f>
        <v>3</v>
      </c>
      <c r="E16" s="30" t="n">
        <f aca="false">Crescimento!F7+Crescimento!D14*MAX(0,MIN(Crescimento!$B$17,2)-1)</f>
        <v>12</v>
      </c>
      <c r="F16" s="30" t="n">
        <f aca="false">Crescimento!G7+Crescimento!E14*MAX(0,MIN(Crescimento!$B$17,2)-1)</f>
        <v>2</v>
      </c>
      <c r="G16" s="30" t="n">
        <f aca="false">Crescimento!H7+Crescimento!F14*MAX(0,MIN(Crescimento!$B$17,2)-1)</f>
        <v>7</v>
      </c>
      <c r="H16" s="30" t="n">
        <f aca="false">Crescimento!I7</f>
        <v>3</v>
      </c>
    </row>
    <row r="17" customFormat="false" ht="15" hidden="false" customHeight="false" outlineLevel="0" collapsed="false">
      <c r="A17" s="36" t="str">
        <f aca="false">Crescimento!A7</f>
        <v>Voss</v>
      </c>
      <c r="B17" s="31" t="n">
        <v>3</v>
      </c>
      <c r="C17" s="31" t="n">
        <f aca="false">Crescimento!D7+Crescimento!B14*MAX(0,MIN(Crescimento!$B$17,3)-1)</f>
        <v>28</v>
      </c>
      <c r="D17" s="31" t="n">
        <f aca="false">Crescimento!E7+Crescimento!C14*MAX(0,MIN(Crescimento!$B$17,3)-1)</f>
        <v>3</v>
      </c>
      <c r="E17" s="31" t="n">
        <f aca="false">Crescimento!F7+Crescimento!D14*MAX(0,MIN(Crescimento!$B$17,3)-1)</f>
        <v>14</v>
      </c>
      <c r="F17" s="31" t="n">
        <f aca="false">Crescimento!G7+Crescimento!E14*MAX(0,MIN(Crescimento!$B$17,3)-1)</f>
        <v>2</v>
      </c>
      <c r="G17" s="31" t="n">
        <f aca="false">Crescimento!H7+Crescimento!F14*MAX(0,MIN(Crescimento!$B$17,3)-1)</f>
        <v>8</v>
      </c>
      <c r="H17" s="31" t="n">
        <f aca="false">Crescimento!I7</f>
        <v>3</v>
      </c>
    </row>
    <row r="18" customFormat="false" ht="15" hidden="false" customHeight="false" outlineLevel="0" collapsed="false">
      <c r="A18" s="38" t="str">
        <f aca="false">Crescimento!A7</f>
        <v>Voss</v>
      </c>
      <c r="B18" s="35" t="n">
        <v>4</v>
      </c>
      <c r="C18" s="35" t="n">
        <f aca="false">Crescimento!D7+Crescimento!B14*MAX(0,MIN(Crescimento!$B$17,4)-1)</f>
        <v>31</v>
      </c>
      <c r="D18" s="35" t="n">
        <f aca="false">Crescimento!E7+Crescimento!C14*MAX(0,MIN(Crescimento!$B$17,4)-1)</f>
        <v>3</v>
      </c>
      <c r="E18" s="35" t="n">
        <f aca="false">Crescimento!F7+Crescimento!D14*MAX(0,MIN(Crescimento!$B$17,4)-1)</f>
        <v>16</v>
      </c>
      <c r="F18" s="35" t="n">
        <f aca="false">Crescimento!G7+Crescimento!E14*MAX(0,MIN(Crescimento!$B$17,4)-1)</f>
        <v>2</v>
      </c>
      <c r="G18" s="35" t="n">
        <f aca="false">Crescimento!H7+Crescimento!F14*MAX(0,MIN(Crescimento!$B$17,4)-1)</f>
        <v>9</v>
      </c>
      <c r="H18" s="35" t="n">
        <f aca="false">Crescimento!I7</f>
        <v>3</v>
      </c>
    </row>
    <row r="19" customFormat="false" ht="15" hidden="false" customHeight="false" outlineLevel="0" collapsed="false">
      <c r="A19" s="36" t="str">
        <f aca="false">Crescimento!A7</f>
        <v>Voss</v>
      </c>
      <c r="B19" s="31" t="n">
        <v>5</v>
      </c>
      <c r="C19" s="31" t="n">
        <f aca="false">Crescimento!D7+Crescimento!B14*MAX(0,MIN(Crescimento!$B$17,5)-1)</f>
        <v>34</v>
      </c>
      <c r="D19" s="31" t="n">
        <f aca="false">Crescimento!E7+Crescimento!C14*MAX(0,MIN(Crescimento!$B$17,5)-1)</f>
        <v>3</v>
      </c>
      <c r="E19" s="31" t="n">
        <f aca="false">Crescimento!F7+Crescimento!D14*MAX(0,MIN(Crescimento!$B$17,5)-1)</f>
        <v>18</v>
      </c>
      <c r="F19" s="31" t="n">
        <f aca="false">Crescimento!G7+Crescimento!E14*MAX(0,MIN(Crescimento!$B$17,5)-1)</f>
        <v>2</v>
      </c>
      <c r="G19" s="31" t="n">
        <f aca="false">Crescimento!H7+Crescimento!F14*MAX(0,MIN(Crescimento!$B$17,5)-1)</f>
        <v>10</v>
      </c>
      <c r="H19" s="31" t="n">
        <f aca="false">Crescimento!I7</f>
        <v>3</v>
      </c>
    </row>
    <row r="20" customFormat="false" ht="15" hidden="false" customHeight="false" outlineLevel="0" collapsed="false">
      <c r="A20" s="39" t="str">
        <f aca="false">Crescimento!A8</f>
        <v>Salazar</v>
      </c>
      <c r="B20" s="40" t="n">
        <v>1</v>
      </c>
      <c r="C20" s="40" t="n">
        <f aca="false">Crescimento!D8+Crescimento!B15*MAX(0,MIN(Crescimento!$B$17,1)-1)</f>
        <v>26</v>
      </c>
      <c r="D20" s="40" t="n">
        <f aca="false">Crescimento!E8+Crescimento!C15*MAX(0,MIN(Crescimento!$B$17,1)-1)</f>
        <v>4</v>
      </c>
      <c r="E20" s="40" t="n">
        <f aca="false">Crescimento!F8+Crescimento!D15*MAX(0,MIN(Crescimento!$B$17,1)-1)</f>
        <v>8</v>
      </c>
      <c r="F20" s="40" t="n">
        <f aca="false">Crescimento!G8+Crescimento!E15*MAX(0,MIN(Crescimento!$B$17,1)-1)</f>
        <v>3</v>
      </c>
      <c r="G20" s="40" t="n">
        <f aca="false">Crescimento!H8+Crescimento!F15*MAX(0,MIN(Crescimento!$B$17,1)-1)</f>
        <v>6</v>
      </c>
      <c r="H20" s="40" t="n">
        <f aca="false">Crescimento!I8</f>
        <v>3</v>
      </c>
    </row>
    <row r="21" customFormat="false" ht="15" hidden="false" customHeight="false" outlineLevel="0" collapsed="false">
      <c r="A21" s="39" t="str">
        <f aca="false">Crescimento!A8</f>
        <v>Salazar</v>
      </c>
      <c r="B21" s="30" t="n">
        <v>2</v>
      </c>
      <c r="C21" s="30" t="n">
        <f aca="false">Crescimento!D8+Crescimento!B15*MAX(0,MIN(Crescimento!$B$17,2)-1)</f>
        <v>29</v>
      </c>
      <c r="D21" s="30" t="n">
        <f aca="false">Crescimento!E8+Crescimento!C15*MAX(0,MIN(Crescimento!$B$17,2)-1)</f>
        <v>4</v>
      </c>
      <c r="E21" s="30" t="n">
        <f aca="false">Crescimento!F8+Crescimento!D15*MAX(0,MIN(Crescimento!$B$17,2)-1)</f>
        <v>10</v>
      </c>
      <c r="F21" s="30" t="n">
        <f aca="false">Crescimento!G8+Crescimento!E15*MAX(0,MIN(Crescimento!$B$17,2)-1)</f>
        <v>3</v>
      </c>
      <c r="G21" s="30" t="n">
        <f aca="false">Crescimento!H8+Crescimento!F15*MAX(0,MIN(Crescimento!$B$17,2)-1)</f>
        <v>7</v>
      </c>
      <c r="H21" s="30" t="n">
        <f aca="false">Crescimento!I8</f>
        <v>3</v>
      </c>
    </row>
    <row r="22" customFormat="false" ht="15" hidden="false" customHeight="false" outlineLevel="0" collapsed="false">
      <c r="A22" s="39" t="str">
        <f aca="false">Crescimento!A8</f>
        <v>Salazar</v>
      </c>
      <c r="B22" s="31" t="n">
        <v>3</v>
      </c>
      <c r="C22" s="31" t="n">
        <f aca="false">Crescimento!D8+Crescimento!B15*MAX(0,MIN(Crescimento!$B$17,3)-1)</f>
        <v>32</v>
      </c>
      <c r="D22" s="31" t="n">
        <f aca="false">Crescimento!E8+Crescimento!C15*MAX(0,MIN(Crescimento!$B$17,3)-1)</f>
        <v>4</v>
      </c>
      <c r="E22" s="31" t="n">
        <f aca="false">Crescimento!F8+Crescimento!D15*MAX(0,MIN(Crescimento!$B$17,3)-1)</f>
        <v>12</v>
      </c>
      <c r="F22" s="31" t="n">
        <f aca="false">Crescimento!G8+Crescimento!E15*MAX(0,MIN(Crescimento!$B$17,3)-1)</f>
        <v>3</v>
      </c>
      <c r="G22" s="31" t="n">
        <f aca="false">Crescimento!H8+Crescimento!F15*MAX(0,MIN(Crescimento!$B$17,3)-1)</f>
        <v>8</v>
      </c>
      <c r="H22" s="31" t="n">
        <f aca="false">Crescimento!I8</f>
        <v>3</v>
      </c>
    </row>
    <row r="23" customFormat="false" ht="15" hidden="false" customHeight="false" outlineLevel="0" collapsed="false">
      <c r="A23" s="39" t="str">
        <f aca="false">Crescimento!A8</f>
        <v>Salazar</v>
      </c>
      <c r="B23" s="30" t="n">
        <v>4</v>
      </c>
      <c r="C23" s="30" t="n">
        <f aca="false">Crescimento!D8+Crescimento!B15*MAX(0,MIN(Crescimento!$B$17,4)-1)</f>
        <v>35</v>
      </c>
      <c r="D23" s="30" t="n">
        <f aca="false">Crescimento!E8+Crescimento!C15*MAX(0,MIN(Crescimento!$B$17,4)-1)</f>
        <v>4</v>
      </c>
      <c r="E23" s="30" t="n">
        <f aca="false">Crescimento!F8+Crescimento!D15*MAX(0,MIN(Crescimento!$B$17,4)-1)</f>
        <v>14</v>
      </c>
      <c r="F23" s="30" t="n">
        <f aca="false">Crescimento!G8+Crescimento!E15*MAX(0,MIN(Crescimento!$B$17,4)-1)</f>
        <v>3</v>
      </c>
      <c r="G23" s="30" t="n">
        <f aca="false">Crescimento!H8+Crescimento!F15*MAX(0,MIN(Crescimento!$B$17,4)-1)</f>
        <v>9</v>
      </c>
      <c r="H23" s="30" t="n">
        <f aca="false">Crescimento!I8</f>
        <v>3</v>
      </c>
    </row>
    <row r="24" customFormat="false" ht="15" hidden="false" customHeight="false" outlineLevel="0" collapsed="false">
      <c r="A24" s="39" t="str">
        <f aca="false">Crescimento!A8</f>
        <v>Salazar</v>
      </c>
      <c r="B24" s="31" t="n">
        <v>5</v>
      </c>
      <c r="C24" s="31" t="n">
        <f aca="false">Crescimento!D8+Crescimento!B15*MAX(0,MIN(Crescimento!$B$17,5)-1)</f>
        <v>38</v>
      </c>
      <c r="D24" s="31" t="n">
        <f aca="false">Crescimento!E8+Crescimento!C15*MAX(0,MIN(Crescimento!$B$17,5)-1)</f>
        <v>4</v>
      </c>
      <c r="E24" s="31" t="n">
        <f aca="false">Crescimento!F8+Crescimento!D15*MAX(0,MIN(Crescimento!$B$17,5)-1)</f>
        <v>16</v>
      </c>
      <c r="F24" s="31" t="n">
        <f aca="false">Crescimento!G8+Crescimento!E15*MAX(0,MIN(Crescimento!$B$17,5)-1)</f>
        <v>3</v>
      </c>
      <c r="G24" s="31" t="n">
        <f aca="false">Crescimento!H8+Crescimento!F15*MAX(0,MIN(Crescimento!$B$17,5)-1)</f>
        <v>10</v>
      </c>
      <c r="H24" s="31" t="n">
        <f aca="false">Crescimento!I8</f>
        <v>3</v>
      </c>
    </row>
    <row r="26" customFormat="false" ht="15" hidden="false" customHeight="false" outlineLevel="0" collapsed="false">
      <c r="A26" s="41" t="s">
        <v>62</v>
      </c>
      <c r="B26" s="41"/>
      <c r="C26" s="41"/>
      <c r="D26" s="41"/>
      <c r="E26" s="41"/>
      <c r="F26" s="41"/>
      <c r="G26" s="41"/>
      <c r="H26" s="41"/>
    </row>
    <row r="28" customFormat="false" ht="15" hidden="false" customHeight="false" outlineLevel="0" collapsed="false">
      <c r="A28" s="24" t="s">
        <v>63</v>
      </c>
      <c r="B28" s="24"/>
      <c r="C28" s="24"/>
      <c r="D28" s="24"/>
      <c r="E28" s="24"/>
      <c r="F28" s="24"/>
      <c r="G28" s="24"/>
      <c r="H28" s="24"/>
    </row>
    <row r="29" customFormat="false" ht="15" hidden="false" customHeight="false" outlineLevel="0" collapsed="false">
      <c r="A29" s="25" t="s">
        <v>2</v>
      </c>
      <c r="B29" s="25" t="s">
        <v>64</v>
      </c>
      <c r="C29" s="25" t="s">
        <v>65</v>
      </c>
      <c r="D29" s="25" t="s">
        <v>66</v>
      </c>
      <c r="E29" s="25" t="s">
        <v>67</v>
      </c>
      <c r="F29" s="25" t="s">
        <v>68</v>
      </c>
    </row>
    <row r="30" customFormat="false" ht="15" hidden="false" customHeight="false" outlineLevel="0" collapsed="false">
      <c r="A30" s="4" t="str">
        <f aca="false">A5</f>
        <v>Kael</v>
      </c>
      <c r="B30" s="29" t="n">
        <f aca="false">C9-C5</f>
        <v>16</v>
      </c>
      <c r="C30" s="29" t="n">
        <f aca="false">D9-D5</f>
        <v>8</v>
      </c>
      <c r="D30" s="29" t="n">
        <f aca="false">E9-E5</f>
        <v>0</v>
      </c>
      <c r="E30" s="29" t="n">
        <f aca="false">F9-F5</f>
        <v>4</v>
      </c>
      <c r="F30" s="29" t="n">
        <f aca="false">G9-G5</f>
        <v>0</v>
      </c>
    </row>
    <row r="31" customFormat="false" ht="15" hidden="false" customHeight="false" outlineLevel="0" collapsed="false">
      <c r="A31" s="7" t="str">
        <f aca="false">A10</f>
        <v>Neera</v>
      </c>
      <c r="B31" s="29" t="n">
        <f aca="false">C14-C10</f>
        <v>12</v>
      </c>
      <c r="C31" s="29" t="n">
        <f aca="false">D14-D10</f>
        <v>8</v>
      </c>
      <c r="D31" s="29" t="n">
        <f aca="false">E14-E10</f>
        <v>0</v>
      </c>
      <c r="E31" s="29" t="n">
        <f aca="false">F14-F10</f>
        <v>4</v>
      </c>
      <c r="F31" s="29" t="n">
        <f aca="false">G14-G10</f>
        <v>0</v>
      </c>
    </row>
    <row r="32" customFormat="false" ht="15" hidden="false" customHeight="false" outlineLevel="0" collapsed="false">
      <c r="A32" s="10" t="str">
        <f aca="false">A15</f>
        <v>Voss</v>
      </c>
      <c r="B32" s="29" t="n">
        <f aca="false">C19-C15</f>
        <v>12</v>
      </c>
      <c r="C32" s="29" t="n">
        <f aca="false">D19-D15</f>
        <v>0</v>
      </c>
      <c r="D32" s="29" t="n">
        <f aca="false">E19-E15</f>
        <v>8</v>
      </c>
      <c r="E32" s="29" t="n">
        <f aca="false">F19-F15</f>
        <v>0</v>
      </c>
      <c r="F32" s="29" t="n">
        <f aca="false">G19-G15</f>
        <v>4</v>
      </c>
    </row>
    <row r="33" customFormat="false" ht="15" hidden="false" customHeight="false" outlineLevel="0" collapsed="false">
      <c r="A33" s="13" t="str">
        <f aca="false">A20</f>
        <v>Salazar</v>
      </c>
      <c r="B33" s="29" t="n">
        <f aca="false">C24-C20</f>
        <v>12</v>
      </c>
      <c r="C33" s="29" t="n">
        <f aca="false">D24-D20</f>
        <v>0</v>
      </c>
      <c r="D33" s="29" t="n">
        <f aca="false">E24-E20</f>
        <v>8</v>
      </c>
      <c r="E33" s="29" t="n">
        <f aca="false">F24-F20</f>
        <v>0</v>
      </c>
      <c r="F33" s="29" t="n">
        <f aca="false">G24-G20</f>
        <v>4</v>
      </c>
    </row>
  </sheetData>
  <mergeCells count="4">
    <mergeCell ref="A1:H1"/>
    <mergeCell ref="A2:H2"/>
    <mergeCell ref="A26:H26"/>
    <mergeCell ref="A28:H28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&amp;LEmber — Stats por nível</oddHead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28"/>
    <col collapsed="false" customWidth="true" hidden="false" outlineLevel="0" max="7" min="7" style="0" width="36"/>
    <col collapsed="false" customWidth="true" hidden="false" outlineLevel="0" max="8" min="8" style="0" width="32"/>
    <col collapsed="false" customWidth="true" hidden="false" outlineLevel="0" max="9" min="9" style="0" width="52"/>
  </cols>
  <sheetData>
    <row r="1" customFormat="false" ht="25.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 t="s">
        <v>71</v>
      </c>
      <c r="C4" s="3" t="s">
        <v>72</v>
      </c>
      <c r="D4" s="3" t="s">
        <v>73</v>
      </c>
      <c r="E4" s="3" t="s">
        <v>74</v>
      </c>
      <c r="F4" s="3" t="s">
        <v>37</v>
      </c>
      <c r="G4" s="3" t="s">
        <v>75</v>
      </c>
      <c r="H4" s="3" t="s">
        <v>76</v>
      </c>
      <c r="I4" s="3" t="s">
        <v>77</v>
      </c>
    </row>
    <row r="5" customFormat="false" ht="36" hidden="false" customHeight="true" outlineLevel="0" collapsed="false">
      <c r="A5" s="4" t="s">
        <v>7</v>
      </c>
      <c r="B5" s="5" t="s">
        <v>78</v>
      </c>
      <c r="C5" s="20" t="s">
        <v>79</v>
      </c>
      <c r="D5" s="20" t="s">
        <v>80</v>
      </c>
      <c r="E5" s="20" t="s">
        <v>80</v>
      </c>
      <c r="F5" s="5" t="s">
        <v>81</v>
      </c>
      <c r="G5" s="5" t="s">
        <v>82</v>
      </c>
      <c r="H5" s="5" t="s">
        <v>83</v>
      </c>
      <c r="I5" s="5" t="s">
        <v>84</v>
      </c>
    </row>
    <row r="6" customFormat="false" ht="36" hidden="false" customHeight="true" outlineLevel="0" collapsed="false">
      <c r="A6" s="7" t="s">
        <v>10</v>
      </c>
      <c r="B6" s="8" t="s">
        <v>78</v>
      </c>
      <c r="C6" s="21" t="s">
        <v>79</v>
      </c>
      <c r="D6" s="21" t="s">
        <v>80</v>
      </c>
      <c r="E6" s="21" t="s">
        <v>80</v>
      </c>
      <c r="F6" s="8" t="s">
        <v>85</v>
      </c>
      <c r="G6" s="8" t="s">
        <v>82</v>
      </c>
      <c r="H6" s="8" t="s">
        <v>83</v>
      </c>
      <c r="I6" s="8" t="s">
        <v>86</v>
      </c>
    </row>
    <row r="7" customFormat="false" ht="36" hidden="false" customHeight="true" outlineLevel="0" collapsed="false">
      <c r="A7" s="7" t="s">
        <v>10</v>
      </c>
      <c r="B7" s="8" t="s">
        <v>87</v>
      </c>
      <c r="C7" s="21" t="s">
        <v>79</v>
      </c>
      <c r="D7" s="21" t="n">
        <v>1</v>
      </c>
      <c r="E7" s="21" t="n">
        <v>2</v>
      </c>
      <c r="F7" s="8" t="s">
        <v>88</v>
      </c>
      <c r="G7" s="8" t="s">
        <v>89</v>
      </c>
      <c r="H7" s="8" t="s">
        <v>83</v>
      </c>
      <c r="I7" s="8" t="s">
        <v>90</v>
      </c>
    </row>
    <row r="8" customFormat="false" ht="36" hidden="false" customHeight="true" outlineLevel="0" collapsed="false">
      <c r="A8" s="7" t="s">
        <v>10</v>
      </c>
      <c r="B8" s="8" t="s">
        <v>91</v>
      </c>
      <c r="C8" s="21" t="s">
        <v>79</v>
      </c>
      <c r="D8" s="21" t="n">
        <v>1</v>
      </c>
      <c r="E8" s="21" t="n">
        <v>2</v>
      </c>
      <c r="F8" s="8" t="s">
        <v>92</v>
      </c>
      <c r="G8" s="8" t="s">
        <v>93</v>
      </c>
      <c r="H8" s="8" t="s">
        <v>94</v>
      </c>
      <c r="I8" s="8" t="s">
        <v>95</v>
      </c>
    </row>
    <row r="9" customFormat="false" ht="36" hidden="false" customHeight="true" outlineLevel="0" collapsed="false">
      <c r="A9" s="10" t="s">
        <v>13</v>
      </c>
      <c r="B9" s="11" t="s">
        <v>78</v>
      </c>
      <c r="C9" s="22" t="s">
        <v>79</v>
      </c>
      <c r="D9" s="22" t="s">
        <v>80</v>
      </c>
      <c r="E9" s="22" t="s">
        <v>80</v>
      </c>
      <c r="F9" s="11" t="s">
        <v>96</v>
      </c>
      <c r="G9" s="11" t="s">
        <v>97</v>
      </c>
      <c r="H9" s="11" t="s">
        <v>83</v>
      </c>
      <c r="I9" s="11" t="s">
        <v>98</v>
      </c>
    </row>
    <row r="10" customFormat="false" ht="36" hidden="false" customHeight="true" outlineLevel="0" collapsed="false">
      <c r="A10" s="10" t="s">
        <v>13</v>
      </c>
      <c r="B10" s="11" t="s">
        <v>99</v>
      </c>
      <c r="C10" s="22" t="s">
        <v>79</v>
      </c>
      <c r="D10" s="22" t="n">
        <v>2</v>
      </c>
      <c r="E10" s="22" t="n">
        <v>2</v>
      </c>
      <c r="F10" s="11" t="s">
        <v>100</v>
      </c>
      <c r="G10" s="11" t="s">
        <v>101</v>
      </c>
      <c r="H10" s="11" t="s">
        <v>102</v>
      </c>
      <c r="I10" s="11" t="s">
        <v>103</v>
      </c>
    </row>
    <row r="11" customFormat="false" ht="36" hidden="false" customHeight="true" outlineLevel="0" collapsed="false">
      <c r="A11" s="42" t="s">
        <v>13</v>
      </c>
      <c r="B11" s="43" t="s">
        <v>104</v>
      </c>
      <c r="C11" s="44" t="s">
        <v>105</v>
      </c>
      <c r="D11" s="44" t="n">
        <v>0</v>
      </c>
      <c r="E11" s="44" t="n">
        <v>1</v>
      </c>
      <c r="F11" s="43" t="s">
        <v>100</v>
      </c>
      <c r="G11" s="43" t="s">
        <v>106</v>
      </c>
      <c r="H11" s="43" t="s">
        <v>83</v>
      </c>
      <c r="I11" s="43" t="s">
        <v>107</v>
      </c>
    </row>
    <row r="12" customFormat="false" ht="36" hidden="false" customHeight="true" outlineLevel="0" collapsed="false">
      <c r="A12" s="13" t="s">
        <v>16</v>
      </c>
      <c r="B12" s="14" t="s">
        <v>78</v>
      </c>
      <c r="C12" s="23" t="s">
        <v>79</v>
      </c>
      <c r="D12" s="23" t="s">
        <v>80</v>
      </c>
      <c r="E12" s="23" t="s">
        <v>80</v>
      </c>
      <c r="F12" s="14" t="s">
        <v>81</v>
      </c>
      <c r="G12" s="14" t="s">
        <v>108</v>
      </c>
      <c r="H12" s="14" t="s">
        <v>83</v>
      </c>
      <c r="I12" s="14" t="s">
        <v>109</v>
      </c>
    </row>
    <row r="13" customFormat="false" ht="36" hidden="false" customHeight="true" outlineLevel="0" collapsed="false">
      <c r="A13" s="13" t="s">
        <v>16</v>
      </c>
      <c r="B13" s="14" t="s">
        <v>110</v>
      </c>
      <c r="C13" s="23" t="s">
        <v>79</v>
      </c>
      <c r="D13" s="23" t="n">
        <v>2</v>
      </c>
      <c r="E13" s="23" t="n">
        <v>2</v>
      </c>
      <c r="F13" s="14" t="s">
        <v>81</v>
      </c>
      <c r="G13" s="14" t="s">
        <v>111</v>
      </c>
      <c r="H13" s="14" t="s">
        <v>112</v>
      </c>
      <c r="I13" s="14" t="s">
        <v>113</v>
      </c>
    </row>
    <row r="14" customFormat="false" ht="36" hidden="false" customHeight="true" outlineLevel="0" collapsed="false">
      <c r="A14" s="13" t="s">
        <v>16</v>
      </c>
      <c r="B14" s="14" t="s">
        <v>114</v>
      </c>
      <c r="C14" s="23" t="s">
        <v>79</v>
      </c>
      <c r="D14" s="23" t="n">
        <v>1</v>
      </c>
      <c r="E14" s="23" t="n">
        <v>1</v>
      </c>
      <c r="F14" s="14" t="s">
        <v>81</v>
      </c>
      <c r="G14" s="14" t="s">
        <v>115</v>
      </c>
      <c r="H14" s="14" t="s">
        <v>112</v>
      </c>
      <c r="I14" s="14" t="s">
        <v>116</v>
      </c>
    </row>
    <row r="16" customFormat="false" ht="55.5" hidden="false" customHeight="true" outlineLevel="0" collapsed="false">
      <c r="A16" s="16" t="s">
        <v>117</v>
      </c>
      <c r="B16" s="16"/>
      <c r="C16" s="16"/>
      <c r="D16" s="16"/>
      <c r="E16" s="16"/>
      <c r="F16" s="16"/>
      <c r="G16" s="16"/>
      <c r="H16" s="16"/>
      <c r="I16" s="16"/>
    </row>
    <row r="17" customFormat="false" ht="15" hidden="false" customHeight="false" outlineLevel="0" collapsed="false">
      <c r="A17" s="16"/>
      <c r="B17" s="16"/>
      <c r="C17" s="16"/>
      <c r="D17" s="16"/>
      <c r="E17" s="16"/>
      <c r="F17" s="16"/>
      <c r="G17" s="16"/>
      <c r="H17" s="16"/>
      <c r="I17" s="16"/>
    </row>
    <row r="18" customFormat="false" ht="15" hidden="false" customHeight="false" outlineLevel="0" collapsed="false">
      <c r="A18" s="16"/>
      <c r="B18" s="16"/>
      <c r="C18" s="16"/>
      <c r="D18" s="16"/>
      <c r="E18" s="16"/>
      <c r="F18" s="16"/>
      <c r="G18" s="16"/>
      <c r="H18" s="16"/>
      <c r="I18" s="16"/>
    </row>
  </sheetData>
  <autoFilter ref="A4:I14"/>
  <mergeCells count="3">
    <mergeCell ref="A1:I1"/>
    <mergeCell ref="A2:I2"/>
    <mergeCell ref="A16:I18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&amp;LEmber — Habilidades</oddHeader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62"/>
  </cols>
  <sheetData>
    <row r="1" customFormat="false" ht="22.05" hidden="false" customHeight="false" outlineLevel="0" collapsed="false">
      <c r="A1" s="1" t="s">
        <v>118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119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120</v>
      </c>
      <c r="B4" s="3" t="s">
        <v>121</v>
      </c>
      <c r="C4" s="3" t="s">
        <v>122</v>
      </c>
      <c r="D4" s="3" t="s">
        <v>123</v>
      </c>
      <c r="E4" s="3" t="s">
        <v>124</v>
      </c>
      <c r="F4" s="3" t="s">
        <v>77</v>
      </c>
    </row>
    <row r="5" customFormat="false" ht="21.75" hidden="false" customHeight="true" outlineLevel="0" collapsed="false">
      <c r="A5" s="45" t="n">
        <v>1</v>
      </c>
      <c r="B5" s="45" t="s">
        <v>125</v>
      </c>
      <c r="C5" s="45" t="s">
        <v>126</v>
      </c>
      <c r="D5" s="45" t="n">
        <v>1</v>
      </c>
      <c r="E5" s="45" t="n">
        <v>1</v>
      </c>
      <c r="F5" s="46" t="s">
        <v>127</v>
      </c>
    </row>
    <row r="6" customFormat="false" ht="21.75" hidden="false" customHeight="true" outlineLevel="0" collapsed="false">
      <c r="A6" s="47" t="n">
        <v>2</v>
      </c>
      <c r="B6" s="47" t="s">
        <v>128</v>
      </c>
      <c r="C6" s="47" t="s">
        <v>129</v>
      </c>
      <c r="D6" s="47" t="n">
        <v>2</v>
      </c>
      <c r="E6" s="47" t="n">
        <v>1</v>
      </c>
      <c r="F6" s="48" t="s">
        <v>130</v>
      </c>
    </row>
    <row r="7" customFormat="false" ht="21.75" hidden="false" customHeight="true" outlineLevel="0" collapsed="false">
      <c r="A7" s="45" t="n">
        <v>3</v>
      </c>
      <c r="B7" s="45" t="s">
        <v>131</v>
      </c>
      <c r="C7" s="45" t="s">
        <v>132</v>
      </c>
      <c r="D7" s="45" t="n">
        <v>3</v>
      </c>
      <c r="E7" s="49" t="n">
        <v>2</v>
      </c>
      <c r="F7" s="46" t="s">
        <v>133</v>
      </c>
    </row>
    <row r="8" customFormat="false" ht="21.75" hidden="false" customHeight="true" outlineLevel="0" collapsed="false">
      <c r="A8" s="47" t="n">
        <v>4</v>
      </c>
      <c r="B8" s="47" t="s">
        <v>134</v>
      </c>
      <c r="C8" s="47" t="s">
        <v>135</v>
      </c>
      <c r="D8" s="47" t="n">
        <v>4</v>
      </c>
      <c r="E8" s="49" t="n">
        <v>2</v>
      </c>
      <c r="F8" s="48" t="s">
        <v>136</v>
      </c>
    </row>
    <row r="9" customFormat="false" ht="21.75" hidden="false" customHeight="true" outlineLevel="0" collapsed="false">
      <c r="A9" s="45" t="n">
        <v>5</v>
      </c>
      <c r="B9" s="45" t="s">
        <v>137</v>
      </c>
      <c r="C9" s="45" t="s">
        <v>138</v>
      </c>
      <c r="D9" s="45" t="n">
        <v>5</v>
      </c>
      <c r="E9" s="49" t="n">
        <v>2</v>
      </c>
      <c r="F9" s="46" t="s">
        <v>139</v>
      </c>
    </row>
    <row r="10" customFormat="false" ht="21.75" hidden="false" customHeight="true" outlineLevel="0" collapsed="false">
      <c r="A10" s="47" t="n">
        <v>6</v>
      </c>
      <c r="B10" s="47" t="s">
        <v>140</v>
      </c>
      <c r="C10" s="47" t="s">
        <v>141</v>
      </c>
      <c r="D10" s="47" t="n">
        <v>5</v>
      </c>
      <c r="E10" s="44" t="n">
        <v>3</v>
      </c>
      <c r="F10" s="48" t="s">
        <v>142</v>
      </c>
    </row>
    <row r="11" customFormat="false" ht="21.75" hidden="false" customHeight="true" outlineLevel="0" collapsed="false">
      <c r="A11" s="45" t="n">
        <v>7</v>
      </c>
      <c r="B11" s="45" t="s">
        <v>143</v>
      </c>
      <c r="C11" s="45" t="s">
        <v>144</v>
      </c>
      <c r="D11" s="45" t="n">
        <v>5</v>
      </c>
      <c r="E11" s="44" t="n">
        <v>3</v>
      </c>
      <c r="F11" s="46" t="s">
        <v>145</v>
      </c>
    </row>
    <row r="13" customFormat="false" ht="51.75" hidden="false" customHeight="true" outlineLevel="0" collapsed="false">
      <c r="A13" s="16" t="s">
        <v>146</v>
      </c>
      <c r="B13" s="16"/>
      <c r="C13" s="16"/>
      <c r="D13" s="16"/>
      <c r="E13" s="16"/>
      <c r="F13" s="16"/>
    </row>
    <row r="14" customFormat="false" ht="15" hidden="false" customHeight="false" outlineLevel="0" collapsed="false">
      <c r="A14" s="16"/>
      <c r="B14" s="16"/>
      <c r="C14" s="16"/>
      <c r="D14" s="16"/>
      <c r="E14" s="16"/>
      <c r="F14" s="16"/>
    </row>
    <row r="15" customFormat="false" ht="15" hidden="false" customHeight="false" outlineLevel="0" collapsed="false">
      <c r="A15" s="16"/>
      <c r="B15" s="16"/>
      <c r="C15" s="16"/>
      <c r="D15" s="16"/>
      <c r="E15" s="16"/>
      <c r="F15" s="16"/>
    </row>
  </sheetData>
  <mergeCells count="3">
    <mergeCell ref="A1:F1"/>
    <mergeCell ref="A2:F2"/>
    <mergeCell ref="A13:F15"/>
  </mergeCells>
  <printOptions headings="false" gridLines="false" gridLinesSet="true" horizontalCentered="false" verticalCentered="false"/>
  <pageMargins left="0.75" right="0.75" top="1" bottom="1" header="0.5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&amp;LEmber — Campanha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2026-08-30T19:59:34Z</dcterms:created>
  <dc:creator>openpyxl</dc:creator>
  <dc:description/>
  <dc:language>en-US</dc:language>
  <cp:lastModifiedBy/>
  <dcterms:modified xsi:type="dcterms:W3CDTF">2026-08-30T19:59:41Z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